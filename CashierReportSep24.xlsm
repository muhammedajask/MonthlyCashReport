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p\Desktop\Data Analysis\Bloom\"/>
    </mc:Choice>
  </mc:AlternateContent>
  <xr:revisionPtr revIDLastSave="0" documentId="13_ncr:1_{B37115EF-525A-40DF-9DB9-D0D6DF43314A}" xr6:coauthVersionLast="47" xr6:coauthVersionMax="47" xr10:uidLastSave="{00000000-0000-0000-0000-000000000000}"/>
  <bookViews>
    <workbookView xWindow="-108" yWindow="-108" windowWidth="23256" windowHeight="12456" xr2:uid="{D1528E90-87D5-47A8-8CCE-F11CCADCE140}"/>
  </bookViews>
  <sheets>
    <sheet name="CashReport" sheetId="1" r:id="rId1"/>
  </sheets>
  <definedNames>
    <definedName name="ExternalData_1" localSheetId="0" hidden="1">CashReport!$A$2:$D$32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1" l="1"/>
  <c r="B33" i="1"/>
  <c r="C33" i="1"/>
  <c r="D3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5E44B39-48A8-4F36-A5DF-2CF1613D87BE}" keepAlive="1" name="Query - CashierSept24" description="Connection to the 'CashierSept24' query in the workbook." type="5" refreshedVersion="8" background="1" saveData="1">
    <dbPr connection="Provider=Microsoft.Mashup.OleDb.1;Data Source=$Workbook$;Location=CashierSept24;Extended Properties=&quot;&quot;" command="SELECT * FROM [CashierSept24]"/>
  </connection>
</connections>
</file>

<file path=xl/sharedStrings.xml><?xml version="1.0" encoding="utf-8"?>
<sst xmlns="http://schemas.openxmlformats.org/spreadsheetml/2006/main" count="5" uniqueCount="5">
  <si>
    <t>Date</t>
  </si>
  <si>
    <t>CASH</t>
  </si>
  <si>
    <t>CREDIT_CARD</t>
  </si>
  <si>
    <t>UPI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</si>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</sst>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10"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57533DC-0E90-4CED-A211-9F2C3915E553}" autoFormatId="16" applyNumberFormats="0" applyBorderFormats="0" applyFontFormats="0" applyPatternFormats="0" applyAlignmentFormats="0" applyWidthHeightFormats="0">
  <queryTableRefresh nextId="5">
    <queryTableFields count="4">
      <queryTableField id="1" name="Date" tableColumnId="1"/>
      <queryTableField id="2" name="CASH" tableColumnId="2"/>
      <queryTableField id="3" name="CREDIT_CARD" tableColumnId="3"/>
      <queryTableField id="4" name="UPI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4B42FA-E895-4E7B-85B2-E3FFDED0A36A}" name="CashierSept24" displayName="CashierSept24" ref="A2:D33" tableType="queryTable" totalsRowCount="1" headerRowDxfId="9" dataDxfId="8">
  <autoFilter ref="A2:D32" xr:uid="{1D4B42FA-E895-4E7B-85B2-E3FFDED0A36A}"/>
  <tableColumns count="4">
    <tableColumn id="1" xr3:uid="{B228CC93-DD17-4E7B-9CC9-D9A0ED60DAE8}" uniqueName="1" name="Date" totalsRowLabel="Total" queryTableFieldId="1" dataDxfId="7" totalsRowDxfId="6"/>
    <tableColumn id="2" xr3:uid="{31FBDD51-2F66-4533-9266-40AEAF456174}" uniqueName="2" name="CASH" totalsRowFunction="sum" queryTableFieldId="2" dataDxfId="5" totalsRowDxfId="4"/>
    <tableColumn id="3" xr3:uid="{64F80ED0-84EA-48D5-9CE8-0E63B9B5BD97}" uniqueName="3" name="CREDIT_CARD" totalsRowFunction="sum" queryTableFieldId="3" dataDxfId="3" totalsRowDxfId="2"/>
    <tableColumn id="4" xr3:uid="{B07D384F-F13B-478C-B969-C8C47E862B3D}" uniqueName="4" name="UPI" totalsRowFunction="sum" queryTableFieldId="4" dataDxfId="1" totalsRow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EEEB0-C639-4AEE-AEC2-7CFC4A7E9031}">
  <dimension ref="A1:D34"/>
  <sheetViews>
    <sheetView tabSelected="1" workbookViewId="0">
      <selection activeCell="G6" sqref="G6"/>
    </sheetView>
  </sheetViews>
  <sheetFormatPr defaultRowHeight="14.4" x14ac:dyDescent="0.3"/>
  <cols>
    <col min="1" max="4" width="33.33203125" customWidth="1"/>
  </cols>
  <sheetData>
    <row r="1" spans="1:4" ht="25.8" x14ac:dyDescent="0.3">
      <c r="A1" s="6" t="str">
        <f>UPPER("Cash Report")</f>
        <v>CASH REPORT</v>
      </c>
      <c r="B1" s="6"/>
      <c r="C1" s="6"/>
      <c r="D1" s="6"/>
    </row>
    <row r="2" spans="1:4" x14ac:dyDescent="0.3">
      <c r="A2" s="1" t="s">
        <v>0</v>
      </c>
      <c r="B2" s="1" t="s">
        <v>1</v>
      </c>
      <c r="C2" s="1" t="s">
        <v>2</v>
      </c>
      <c r="D2" s="1" t="s">
        <v>3</v>
      </c>
    </row>
    <row r="3" spans="1:4" x14ac:dyDescent="0.3">
      <c r="A3" s="2">
        <v>45536</v>
      </c>
      <c r="B3" s="1">
        <v>0</v>
      </c>
      <c r="C3" s="1">
        <v>5553.7</v>
      </c>
      <c r="D3" s="1">
        <v>3890</v>
      </c>
    </row>
    <row r="4" spans="1:4" x14ac:dyDescent="0.3">
      <c r="A4" s="2">
        <v>45537</v>
      </c>
      <c r="B4" s="1">
        <v>12000</v>
      </c>
      <c r="C4" s="1">
        <v>3203.55</v>
      </c>
      <c r="D4" s="1">
        <v>2568.9</v>
      </c>
    </row>
    <row r="5" spans="1:4" x14ac:dyDescent="0.3">
      <c r="A5" s="2">
        <v>45538</v>
      </c>
      <c r="B5" s="1">
        <v>0</v>
      </c>
      <c r="C5" s="1">
        <v>2425.52</v>
      </c>
      <c r="D5" s="1">
        <v>9722.5</v>
      </c>
    </row>
    <row r="6" spans="1:4" x14ac:dyDescent="0.3">
      <c r="A6" s="2">
        <v>45539</v>
      </c>
      <c r="B6" s="1">
        <v>209.48</v>
      </c>
      <c r="C6" s="1">
        <v>2632.3</v>
      </c>
      <c r="D6" s="1">
        <v>1670.32</v>
      </c>
    </row>
    <row r="7" spans="1:4" x14ac:dyDescent="0.3">
      <c r="A7" s="2">
        <v>45540</v>
      </c>
      <c r="B7" s="1">
        <v>220</v>
      </c>
      <c r="C7" s="1">
        <v>0</v>
      </c>
      <c r="D7" s="1">
        <v>23039.94</v>
      </c>
    </row>
    <row r="8" spans="1:4" x14ac:dyDescent="0.3">
      <c r="A8" s="2">
        <v>45541</v>
      </c>
      <c r="B8" s="1">
        <v>0</v>
      </c>
      <c r="C8" s="1">
        <v>4068</v>
      </c>
      <c r="D8" s="1">
        <v>799</v>
      </c>
    </row>
    <row r="9" spans="1:4" x14ac:dyDescent="0.3">
      <c r="A9" s="2">
        <v>45542</v>
      </c>
      <c r="B9" s="1">
        <v>7207</v>
      </c>
      <c r="C9" s="1">
        <v>3422.25</v>
      </c>
      <c r="D9" s="1">
        <v>7978.2</v>
      </c>
    </row>
    <row r="10" spans="1:4" x14ac:dyDescent="0.3">
      <c r="A10" s="2">
        <v>45543</v>
      </c>
      <c r="B10" s="1">
        <v>0</v>
      </c>
      <c r="C10" s="1">
        <v>21944.28</v>
      </c>
      <c r="D10" s="1">
        <v>14100.52</v>
      </c>
    </row>
    <row r="11" spans="1:4" x14ac:dyDescent="0.3">
      <c r="A11" s="2">
        <v>45544</v>
      </c>
      <c r="B11" s="1">
        <v>0</v>
      </c>
      <c r="C11" s="1">
        <v>8268.2999999999993</v>
      </c>
      <c r="D11" s="1">
        <v>5533.14</v>
      </c>
    </row>
    <row r="12" spans="1:4" x14ac:dyDescent="0.3">
      <c r="A12" s="2">
        <v>45545</v>
      </c>
      <c r="B12" s="1">
        <v>2712.5</v>
      </c>
      <c r="C12" s="1">
        <v>0</v>
      </c>
      <c r="D12" s="1">
        <v>0</v>
      </c>
    </row>
    <row r="13" spans="1:4" x14ac:dyDescent="0.3">
      <c r="A13" s="2">
        <v>45546</v>
      </c>
      <c r="B13" s="1">
        <v>385.88</v>
      </c>
      <c r="C13" s="1">
        <v>926.11</v>
      </c>
      <c r="D13" s="1">
        <v>4358.13</v>
      </c>
    </row>
    <row r="14" spans="1:4" x14ac:dyDescent="0.3">
      <c r="A14" s="2">
        <v>45547</v>
      </c>
      <c r="B14" s="1">
        <v>1449.79</v>
      </c>
      <c r="C14" s="1">
        <v>10325.5</v>
      </c>
      <c r="D14" s="1">
        <v>435.49</v>
      </c>
    </row>
    <row r="15" spans="1:4" x14ac:dyDescent="0.3">
      <c r="A15" s="2">
        <v>45548</v>
      </c>
      <c r="B15" s="1">
        <v>13000</v>
      </c>
      <c r="C15" s="1">
        <v>9752.3799999999992</v>
      </c>
      <c r="D15" s="1">
        <v>4063</v>
      </c>
    </row>
    <row r="16" spans="1:4" x14ac:dyDescent="0.3">
      <c r="A16" s="2">
        <v>45549</v>
      </c>
      <c r="B16" s="1">
        <v>0</v>
      </c>
      <c r="C16" s="1">
        <v>0</v>
      </c>
      <c r="D16" s="1">
        <v>5262.47</v>
      </c>
    </row>
    <row r="17" spans="1:4" x14ac:dyDescent="0.3">
      <c r="A17" s="2">
        <v>45550</v>
      </c>
      <c r="B17" s="1">
        <v>3742.78</v>
      </c>
      <c r="C17" s="1">
        <v>0</v>
      </c>
      <c r="D17" s="1">
        <v>0</v>
      </c>
    </row>
    <row r="18" spans="1:4" x14ac:dyDescent="0.3">
      <c r="A18" s="2">
        <v>45551</v>
      </c>
      <c r="B18" s="1">
        <v>0</v>
      </c>
      <c r="C18" s="1">
        <v>11219.64</v>
      </c>
      <c r="D18" s="1">
        <v>4742.93</v>
      </c>
    </row>
    <row r="19" spans="1:4" x14ac:dyDescent="0.3">
      <c r="A19" s="2">
        <v>45552</v>
      </c>
      <c r="B19" s="1">
        <v>0</v>
      </c>
      <c r="C19" s="1">
        <v>33567.68</v>
      </c>
      <c r="D19" s="1">
        <v>330.75</v>
      </c>
    </row>
    <row r="20" spans="1:4" x14ac:dyDescent="0.3">
      <c r="A20" s="2">
        <v>45553</v>
      </c>
      <c r="B20" s="1">
        <v>3791.91</v>
      </c>
      <c r="C20" s="1">
        <v>0</v>
      </c>
      <c r="D20" s="1">
        <v>17003</v>
      </c>
    </row>
    <row r="21" spans="1:4" x14ac:dyDescent="0.3">
      <c r="A21" s="2">
        <v>45554</v>
      </c>
      <c r="B21" s="1">
        <v>1797.08</v>
      </c>
      <c r="C21" s="1">
        <v>12943.47</v>
      </c>
      <c r="D21" s="1">
        <v>1587.63</v>
      </c>
    </row>
    <row r="22" spans="1:4" x14ac:dyDescent="0.3">
      <c r="A22" s="2">
        <v>45555</v>
      </c>
      <c r="B22" s="1">
        <v>2369.9499999999998</v>
      </c>
      <c r="C22" s="1">
        <v>7526</v>
      </c>
      <c r="D22" s="1">
        <v>0</v>
      </c>
    </row>
    <row r="23" spans="1:4" x14ac:dyDescent="0.3">
      <c r="A23" s="2">
        <v>45556</v>
      </c>
      <c r="B23" s="1">
        <v>14547</v>
      </c>
      <c r="C23" s="1">
        <v>0</v>
      </c>
      <c r="D23" s="1">
        <v>1000.56</v>
      </c>
    </row>
    <row r="24" spans="1:4" x14ac:dyDescent="0.3">
      <c r="A24" s="2">
        <v>45557</v>
      </c>
      <c r="B24" s="1">
        <v>0</v>
      </c>
      <c r="C24" s="1">
        <v>15819</v>
      </c>
      <c r="D24" s="1">
        <v>22382.77</v>
      </c>
    </row>
    <row r="25" spans="1:4" x14ac:dyDescent="0.3">
      <c r="A25" s="2">
        <v>45558</v>
      </c>
      <c r="B25" s="1">
        <v>0</v>
      </c>
      <c r="C25" s="1">
        <v>0</v>
      </c>
      <c r="D25" s="1">
        <v>66.150000000000006</v>
      </c>
    </row>
    <row r="26" spans="1:4" x14ac:dyDescent="0.3">
      <c r="A26" s="2">
        <v>45559</v>
      </c>
      <c r="B26" s="1">
        <v>0</v>
      </c>
      <c r="C26" s="1">
        <v>0</v>
      </c>
      <c r="D26" s="1">
        <v>3762.9</v>
      </c>
    </row>
    <row r="27" spans="1:4" x14ac:dyDescent="0.3">
      <c r="A27" s="2">
        <v>45560</v>
      </c>
      <c r="B27" s="1">
        <v>0</v>
      </c>
      <c r="C27" s="1">
        <v>733.21</v>
      </c>
      <c r="D27" s="1">
        <v>0</v>
      </c>
    </row>
    <row r="28" spans="1:4" x14ac:dyDescent="0.3">
      <c r="A28" s="2">
        <v>45561</v>
      </c>
      <c r="B28" s="1">
        <v>0</v>
      </c>
      <c r="C28" s="1">
        <v>1890.8</v>
      </c>
      <c r="D28" s="1">
        <v>8288</v>
      </c>
    </row>
    <row r="29" spans="1:4" x14ac:dyDescent="0.3">
      <c r="A29" s="2">
        <v>45562</v>
      </c>
      <c r="B29" s="1">
        <v>1284.42</v>
      </c>
      <c r="C29" s="1">
        <v>19592.009999999998</v>
      </c>
      <c r="D29" s="1">
        <v>3996.91</v>
      </c>
    </row>
    <row r="30" spans="1:4" x14ac:dyDescent="0.3">
      <c r="A30" s="2">
        <v>45563</v>
      </c>
      <c r="B30" s="1">
        <v>784</v>
      </c>
      <c r="C30" s="1">
        <v>19269.87</v>
      </c>
      <c r="D30" s="1">
        <v>6688.56</v>
      </c>
    </row>
    <row r="31" spans="1:4" x14ac:dyDescent="0.3">
      <c r="A31" s="2">
        <v>45564</v>
      </c>
      <c r="B31" s="1">
        <v>0</v>
      </c>
      <c r="C31" s="1">
        <v>3342.03</v>
      </c>
      <c r="D31" s="1">
        <v>5725.52</v>
      </c>
    </row>
    <row r="32" spans="1:4" x14ac:dyDescent="0.3">
      <c r="A32" s="2">
        <v>45565</v>
      </c>
      <c r="B32" s="1">
        <v>0</v>
      </c>
      <c r="C32" s="1">
        <v>17698.82</v>
      </c>
      <c r="D32" s="1">
        <v>1041.9000000000001</v>
      </c>
    </row>
    <row r="33" spans="1:4" x14ac:dyDescent="0.3">
      <c r="A33" s="3" t="s">
        <v>4</v>
      </c>
      <c r="B33" s="4">
        <f>SUBTOTAL(109,CashierSept24[CASH])</f>
        <v>65501.789999999994</v>
      </c>
      <c r="C33" s="4">
        <f>SUBTOTAL(109,CashierSept24[CREDIT_CARD])</f>
        <v>216124.41999999998</v>
      </c>
      <c r="D33" s="5">
        <f>SUBTOTAL(109,CashierSept24[UPI])</f>
        <v>160039.19</v>
      </c>
    </row>
    <row r="34" spans="1:4" x14ac:dyDescent="0.3">
      <c r="A34" s="1"/>
      <c r="B34" s="1"/>
      <c r="C34" s="1"/>
      <c r="D34" s="1"/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03B0D47-2FA5-4A80-922A-D015E6AB2CD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CashReport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Muhammed Ajas K</dc:creator>
  <cp:lastModifiedBy>Muhammed Ajas K</cp:lastModifiedBy>
  <dcterms:created xsi:type="dcterms:W3CDTF">2024-10-02T20:53:02Z</dcterms:created>
  <dcterms:modified xsi:type="dcterms:W3CDTF">2024-10-02T22:07:51Z</dcterms:modified>
</cp:coreProperties>
</file>